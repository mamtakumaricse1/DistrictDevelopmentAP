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1"/>
  </bookViews>
  <sheets>
    <sheet name="Summary" sheetId="1" r:id="rId1"/>
    <sheet name="Circles" sheetId="2" r:id="rId2"/>
    <sheet name="Departments" sheetId="4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"/>
  <c r="G22" i="2"/>
  <c r="B7" i="1"/>
  <c r="B6"/>
</calcChain>
</file>

<file path=xl/sharedStrings.xml><?xml version="1.0" encoding="utf-8"?>
<sst xmlns="http://schemas.openxmlformats.org/spreadsheetml/2006/main" count="232" uniqueCount="196">
  <si>
    <t>Changlang District, Arunachal Pradesh - At a Glance</t>
  </si>
  <si>
    <t>Item</t>
  </si>
  <si>
    <t>Value</t>
  </si>
  <si>
    <t>Total Departments / HOD offices (per list)</t>
  </si>
  <si>
    <t>Sub-Divisions</t>
  </si>
  <si>
    <t>Circles</t>
  </si>
  <si>
    <t>Villages</t>
  </si>
  <si>
    <t>Changlang District - Sub-Divisions and Circles</t>
  </si>
  <si>
    <t>Sr No</t>
  </si>
  <si>
    <t>Sub-Division</t>
  </si>
  <si>
    <t>Circle</t>
  </si>
  <si>
    <t>No. of Villages</t>
  </si>
  <si>
    <t>Changlang</t>
  </si>
  <si>
    <t>Khimiyang</t>
  </si>
  <si>
    <t>Namtok</t>
  </si>
  <si>
    <t>Yatdam</t>
  </si>
  <si>
    <t>Kantang</t>
  </si>
  <si>
    <t>Miao</t>
  </si>
  <si>
    <t>Kharsang</t>
  </si>
  <si>
    <t>Vijoynagar</t>
  </si>
  <si>
    <t>Namphai-1</t>
  </si>
  <si>
    <t>Jairampur</t>
  </si>
  <si>
    <t>Nampong</t>
  </si>
  <si>
    <t>Manmao</t>
  </si>
  <si>
    <t>Rima-Putok</t>
  </si>
  <si>
    <t>Lyngok-Longtoi</t>
  </si>
  <si>
    <t>Renuk</t>
  </si>
  <si>
    <t>Bordumsa</t>
  </si>
  <si>
    <t>Diyun</t>
  </si>
  <si>
    <t>Total</t>
  </si>
  <si>
    <t>Block</t>
  </si>
  <si>
    <t>Khagam-Miao</t>
  </si>
  <si>
    <t>Changlang District - Heads of Department (HOD) List</t>
  </si>
  <si>
    <t>HOD Name</t>
  </si>
  <si>
    <t>Deputy Commissioner</t>
  </si>
  <si>
    <t>Shri Marpe Riba</t>
  </si>
  <si>
    <t>Smti Rosalind Pertin</t>
  </si>
  <si>
    <t>Shri Gamjar Doke</t>
  </si>
  <si>
    <t>Shri Millo Uttung</t>
  </si>
  <si>
    <t>Circle Officer, Kantang</t>
  </si>
  <si>
    <t>Shri C.K. Namchoom</t>
  </si>
  <si>
    <t>Assistant Commissioner, Namtok</t>
  </si>
  <si>
    <t>Shri Mem Ejing</t>
  </si>
  <si>
    <t>Circle Officer, Yatdam</t>
  </si>
  <si>
    <t>Dr. Ripi Doni</t>
  </si>
  <si>
    <t>Superintendent of Police</t>
  </si>
  <si>
    <t>Shri Kirli Padu</t>
  </si>
  <si>
    <t>Shri Tum Aje</t>
  </si>
  <si>
    <t>District Food &amp; Civil Supply Officer</t>
  </si>
  <si>
    <t>Shri Dekbom Boje</t>
  </si>
  <si>
    <t>Treasury Officer</t>
  </si>
  <si>
    <t>Shri Hage Tadii</t>
  </si>
  <si>
    <t>District Medical Officer</t>
  </si>
  <si>
    <t>Dr. Neeba Lowang</t>
  </si>
  <si>
    <t>Divisional Forest Officer</t>
  </si>
  <si>
    <t>Shri P. Tangha</t>
  </si>
  <si>
    <t>Er. C. Bangyang</t>
  </si>
  <si>
    <t>Executive Engineer, PMGSY DPIU-I</t>
  </si>
  <si>
    <t>Er. H. Rekhung</t>
  </si>
  <si>
    <t>Er. Bising Darin</t>
  </si>
  <si>
    <t>Er. Thangtit Tangha</t>
  </si>
  <si>
    <t>Er. Bamang Tasung</t>
  </si>
  <si>
    <t>Er. N. Doji</t>
  </si>
  <si>
    <t>Er. Nich Jacob</t>
  </si>
  <si>
    <t>Er. J. Bam</t>
  </si>
  <si>
    <t>Shri Onyok Panyang</t>
  </si>
  <si>
    <t>Smti N. Mossang</t>
  </si>
  <si>
    <t>District Agriculture Officer</t>
  </si>
  <si>
    <t>Smti L.K. Taiju</t>
  </si>
  <si>
    <t>Smti Chaseng Sena</t>
  </si>
  <si>
    <t>Shri L. Bhupendro Singh</t>
  </si>
  <si>
    <t>District Horticulture Officer</t>
  </si>
  <si>
    <t>Shri Langhom Tangha</t>
  </si>
  <si>
    <t>Dr. J.S. Mungrey</t>
  </si>
  <si>
    <t>Shri Rajiv Lomdak</t>
  </si>
  <si>
    <t>Dr. Jeetendra Kr. Katiyar</t>
  </si>
  <si>
    <t>Shri P. Mossang</t>
  </si>
  <si>
    <t>Shri S. Mamai</t>
  </si>
  <si>
    <t>Shri N. Longri</t>
  </si>
  <si>
    <t>Shri Lobsang</t>
  </si>
  <si>
    <t>Shri Abom Apum</t>
  </si>
  <si>
    <t>Shri D. Yupang</t>
  </si>
  <si>
    <t>Language Officer</t>
  </si>
  <si>
    <t>Smti L. Kenglang</t>
  </si>
  <si>
    <t>ARCS</t>
  </si>
  <si>
    <t>Shri T. Byaling</t>
  </si>
  <si>
    <t>Tourist Information Officer</t>
  </si>
  <si>
    <t>Smti Eliza Nemsen Ruttum</t>
  </si>
  <si>
    <t>District Sports Officer</t>
  </si>
  <si>
    <t>Shri Kumar Doka</t>
  </si>
  <si>
    <t>Shri Phassang Bhai</t>
  </si>
  <si>
    <t>Smti W. Khimhun</t>
  </si>
  <si>
    <t>Finance &amp; Accounts Officer, DC Office</t>
  </si>
  <si>
    <t>District Art &amp; Culture Officer</t>
  </si>
  <si>
    <t>Shri Dusu D Genda</t>
  </si>
  <si>
    <t>Shri Shiva Krishna</t>
  </si>
  <si>
    <t>Project Officer, APEDA, Yatdam</t>
  </si>
  <si>
    <t>Er. Repu Haider</t>
  </si>
  <si>
    <t>Ms. Mudang Pampi</t>
  </si>
  <si>
    <t>Sri Rinchin Dorjee Thungon</t>
  </si>
  <si>
    <t xml:space="preserve"> </t>
  </si>
  <si>
    <t>Trade &amp; Commerce</t>
  </si>
  <si>
    <t>District Disaster Management Officer</t>
  </si>
  <si>
    <t>District Fisheries Development Officer</t>
  </si>
  <si>
    <t>Deputy Director of School Education</t>
  </si>
  <si>
    <t>Circle Officer (HeadQuarter)</t>
  </si>
  <si>
    <t>DO (Textiles) I/C Assistant Director of Textile &amp; Handicraft</t>
  </si>
  <si>
    <t>District Library &amp; Information Officer</t>
  </si>
  <si>
    <t>Blocks</t>
  </si>
  <si>
    <t>Department</t>
  </si>
  <si>
    <t>Designation</t>
  </si>
  <si>
    <t>Additional Deputy Commissioner( HeadQuarter)</t>
  </si>
  <si>
    <t>Establishment</t>
  </si>
  <si>
    <t>Assistant Commissioner, Khimyang</t>
  </si>
  <si>
    <t>District Planning Office</t>
  </si>
  <si>
    <t>Jan Suvidha</t>
  </si>
  <si>
    <t>Assistant Commissioner, HeadQuarter</t>
  </si>
  <si>
    <t>Department of Panchayati Raj</t>
  </si>
  <si>
    <t>Election</t>
  </si>
  <si>
    <t>Judicial</t>
  </si>
  <si>
    <t>Deputy Director</t>
  </si>
  <si>
    <t>Rural Development</t>
  </si>
  <si>
    <t>Nazrath</t>
  </si>
  <si>
    <t>General Administration</t>
  </si>
  <si>
    <t>Town Magistrate</t>
  </si>
  <si>
    <t>Development</t>
  </si>
  <si>
    <t>District Art &amp; Culture Office</t>
  </si>
  <si>
    <t>Shri Biplap Bhattacharjee</t>
  </si>
  <si>
    <t>Finance &amp; Accounts Office</t>
  </si>
  <si>
    <t xml:space="preserve">Assistant Controller </t>
  </si>
  <si>
    <t>Legal Metrology</t>
  </si>
  <si>
    <t>Consumer Affairs</t>
  </si>
  <si>
    <t>District Informatics Officer</t>
  </si>
  <si>
    <t>IT &amp; Communication</t>
  </si>
  <si>
    <t>District Information and Public Relations Office</t>
  </si>
  <si>
    <t>Assistant Mineral Development Officer</t>
  </si>
  <si>
    <t>Minerals/Mining/Geology/ Quarries</t>
  </si>
  <si>
    <t>Shri Khilngam Tekhil</t>
  </si>
  <si>
    <t>District Transport Officer</t>
  </si>
  <si>
    <t>Disaster Management Office</t>
  </si>
  <si>
    <t>Shri Kruleso Ngadong</t>
  </si>
  <si>
    <t xml:space="preserve">Assistant Director </t>
  </si>
  <si>
    <t>Economics &amp; Statistics</t>
  </si>
  <si>
    <t>Assistant Employment Officer</t>
  </si>
  <si>
    <t>Employement Matters</t>
  </si>
  <si>
    <t>Labour Officer</t>
  </si>
  <si>
    <t>Shri Halang Wangha</t>
  </si>
  <si>
    <t>Transport Office</t>
  </si>
  <si>
    <t>Child Development Project Officer,HeadQuarter</t>
  </si>
  <si>
    <t>Shri Ngunwang Changmi</t>
  </si>
  <si>
    <t xml:space="preserve">Superintendent </t>
  </si>
  <si>
    <t>Tax, Excise &amp; Narcotics</t>
  </si>
  <si>
    <t>District Research Officer</t>
  </si>
  <si>
    <t>Deputy Superintendent of Police, HeadQuarter</t>
  </si>
  <si>
    <t>Food &amp; Civil Supplies Office</t>
  </si>
  <si>
    <t>Treasury Office</t>
  </si>
  <si>
    <t>District Medical Office</t>
  </si>
  <si>
    <t>Forest</t>
  </si>
  <si>
    <t xml:space="preserve">Executive Engineer </t>
  </si>
  <si>
    <t>Rural Works Department</t>
  </si>
  <si>
    <t>Water Resources Department</t>
  </si>
  <si>
    <t>Executive Engineer</t>
  </si>
  <si>
    <t>Public Works Department</t>
  </si>
  <si>
    <t>Public Health Engineering Department</t>
  </si>
  <si>
    <t>Electrical</t>
  </si>
  <si>
    <t>Urban Development &amp; Housing</t>
  </si>
  <si>
    <t>Department of Hydro Power Development</t>
  </si>
  <si>
    <t>Integrated Child Development Services</t>
  </si>
  <si>
    <t xml:space="preserve">Deputy Director </t>
  </si>
  <si>
    <t>Industries</t>
  </si>
  <si>
    <t>Agriculture Office</t>
  </si>
  <si>
    <t>Sericulture</t>
  </si>
  <si>
    <t>Horticulture</t>
  </si>
  <si>
    <t>District Veterinary Officer</t>
  </si>
  <si>
    <t>Vetenary</t>
  </si>
  <si>
    <t>Education</t>
  </si>
  <si>
    <t>Principal</t>
  </si>
  <si>
    <t>DIET</t>
  </si>
  <si>
    <t>Rang Frah Govt. College</t>
  </si>
  <si>
    <t>Fisheries</t>
  </si>
  <si>
    <t>Liabrary</t>
  </si>
  <si>
    <t>Inspector</t>
  </si>
  <si>
    <t>National Informatics Centre</t>
  </si>
  <si>
    <t>DC Office, Changlang</t>
  </si>
  <si>
    <t>Textile &amp; Handicraft</t>
  </si>
  <si>
    <t>Jail Superintendent</t>
  </si>
  <si>
    <t>Welfare</t>
  </si>
  <si>
    <t>Police</t>
  </si>
  <si>
    <t>Circle office, Yatdam</t>
  </si>
  <si>
    <t>PMGSY DPIU-I</t>
  </si>
  <si>
    <t>Language</t>
  </si>
  <si>
    <t>Tourism</t>
  </si>
  <si>
    <t>Sports</t>
  </si>
  <si>
    <t>Research</t>
  </si>
  <si>
    <t>Co-Operative Society</t>
  </si>
  <si>
    <t xml:space="preserve">Agricultural and Processed Food Products Export Development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</si>
</sst>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3" fontId="3" fillId="0" borderId="1" xfId="0" applyNumberFormat="1" applyFont="1" applyBorder="1" applyAlignment="1"/>
    <xf numFmtId="3" fontId="4" fillId="0" borderId="1" xfId="0" applyNumberFormat="1" applyFont="1" applyBorder="1" applyAlignment="1"/>
    <xf numFmtId="0" fontId="5" fillId="0" borderId="0" xfId="0" applyFont="1" applyAlignment="1"/>
    <xf numFmtId="0" fontId="4" fillId="3" borderId="1" xfId="0" applyFont="1" applyFill="1" applyBorder="1" applyAlignment="1"/>
    <xf numFmtId="0" fontId="6" fillId="0" borderId="0" xfId="0" applyFont="1" applyAlignment="1"/>
    <xf numFmtId="0" fontId="4" fillId="4" borderId="1" xfId="0" applyFont="1" applyFill="1" applyBorder="1" applyAlignment="1"/>
    <xf numFmtId="0" fontId="0" fillId="5" borderId="0" xfId="0" applyFill="1"/>
    <xf numFmtId="0" fontId="0" fillId="5" borderId="0" xfId="0" applyFill="1" applyAlignment="1"/>
    <xf numFmtId="0" fontId="8" fillId="4" borderId="1" xfId="0" applyFont="1" applyFill="1" applyBorder="1" applyAlignment="1"/>
    <xf numFmtId="0" fontId="7" fillId="0" borderId="1" xfId="0" applyFont="1" applyBorder="1" applyAlignment="1"/>
    <xf numFmtId="0" fontId="3" fillId="0" borderId="0" xfId="0" applyFont="1" applyBorder="1" applyAlignment="1"/>
    <xf numFmtId="0" fontId="3" fillId="0" borderId="2" xfId="0" applyFont="1" applyFill="1" applyBorder="1" applyAlignment="1"/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4" sqref="B4"/>
    </sheetView>
  </sheetViews>
  <sheetFormatPr defaultColWidth="8.7109375" defaultRowHeight="15"/>
  <cols>
    <col min="1" max="1" width="36" style="1" customWidth="1"/>
    <col min="2" max="2" width="16" style="1" customWidth="1"/>
  </cols>
  <sheetData>
    <row r="1" spans="1:2" ht="17.25" customHeight="1">
      <c r="A1" s="2" t="s">
        <v>0</v>
      </c>
    </row>
    <row r="3" spans="1:2" ht="15" customHeight="1">
      <c r="A3" s="3" t="s">
        <v>1</v>
      </c>
      <c r="B3" s="3" t="s">
        <v>2</v>
      </c>
    </row>
    <row r="4" spans="1:2" ht="15" customHeight="1">
      <c r="A4" s="4" t="s">
        <v>3</v>
      </c>
      <c r="B4" s="5">
        <f>COUNTA(Departments!D6:D76)</f>
        <v>63</v>
      </c>
    </row>
    <row r="5" spans="1:2" ht="15" customHeight="1">
      <c r="A5" s="4" t="s">
        <v>4</v>
      </c>
      <c r="B5" s="6">
        <v>4</v>
      </c>
    </row>
    <row r="6" spans="1:2" ht="15" customHeight="1">
      <c r="A6" s="4" t="s">
        <v>5</v>
      </c>
      <c r="B6" s="5">
        <f>COUNTA(Circles!F5:F21)</f>
        <v>17</v>
      </c>
    </row>
    <row r="7" spans="1:2" ht="15" customHeight="1">
      <c r="A7" s="4" t="s">
        <v>108</v>
      </c>
      <c r="B7" s="5">
        <f>COUNTA(Circles!D5:D21)</f>
        <v>9</v>
      </c>
    </row>
    <row r="8" spans="1:2" ht="15" customHeight="1">
      <c r="A8" s="4" t="s">
        <v>6</v>
      </c>
      <c r="B8" s="6">
        <v>362</v>
      </c>
    </row>
    <row r="9" spans="1:2" ht="15" customHeight="1">
      <c r="A9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>
      <selection activeCell="I5" sqref="I5:I22"/>
    </sheetView>
  </sheetViews>
  <sheetFormatPr defaultColWidth="8.7109375" defaultRowHeight="15"/>
  <cols>
    <col min="1" max="1" width="8" style="1" customWidth="1"/>
    <col min="2" max="2" width="18" style="1" customWidth="1"/>
    <col min="3" max="3" width="4.7109375" style="1" customWidth="1"/>
    <col min="4" max="4" width="17.140625" style="1" customWidth="1"/>
    <col min="5" max="5" width="3.28515625" style="1" customWidth="1"/>
    <col min="6" max="6" width="22" style="1" customWidth="1"/>
    <col min="7" max="7" width="16" style="1" customWidth="1"/>
  </cols>
  <sheetData>
    <row r="1" spans="1:7" ht="17.25" customHeight="1">
      <c r="A1" s="2" t="s">
        <v>7</v>
      </c>
    </row>
    <row r="2" spans="1:7" ht="15" customHeight="1">
      <c r="A2" s="7"/>
    </row>
    <row r="4" spans="1:7" ht="15" customHeight="1">
      <c r="A4" s="3" t="s">
        <v>8</v>
      </c>
      <c r="B4" s="3" t="s">
        <v>9</v>
      </c>
      <c r="C4" s="3"/>
      <c r="D4" s="3" t="s">
        <v>30</v>
      </c>
      <c r="E4" s="3"/>
      <c r="F4" s="3" t="s">
        <v>10</v>
      </c>
      <c r="G4" s="3" t="s">
        <v>11</v>
      </c>
    </row>
    <row r="5" spans="1:7" ht="15" customHeight="1">
      <c r="A5" s="4">
        <v>1</v>
      </c>
      <c r="B5" s="4" t="s">
        <v>12</v>
      </c>
      <c r="C5" s="4">
        <v>1</v>
      </c>
      <c r="D5" s="4" t="s">
        <v>12</v>
      </c>
      <c r="E5" s="4">
        <v>1</v>
      </c>
      <c r="F5" s="4" t="s">
        <v>12</v>
      </c>
      <c r="G5" s="8">
        <v>32</v>
      </c>
    </row>
    <row r="6" spans="1:7" ht="15" customHeight="1">
      <c r="A6" s="4"/>
      <c r="B6" s="4" t="s">
        <v>12</v>
      </c>
      <c r="C6" s="4">
        <v>2</v>
      </c>
      <c r="D6" s="4" t="s">
        <v>13</v>
      </c>
      <c r="E6" s="4">
        <v>2</v>
      </c>
      <c r="F6" s="4" t="s">
        <v>13</v>
      </c>
      <c r="G6" s="8">
        <v>15</v>
      </c>
    </row>
    <row r="7" spans="1:7" ht="15" customHeight="1">
      <c r="A7" s="4"/>
      <c r="B7" s="4" t="s">
        <v>12</v>
      </c>
      <c r="C7" s="15"/>
      <c r="E7" s="1">
        <v>3</v>
      </c>
      <c r="F7" s="4" t="s">
        <v>14</v>
      </c>
      <c r="G7" s="8">
        <v>18</v>
      </c>
    </row>
    <row r="8" spans="1:7" ht="15" customHeight="1">
      <c r="A8" s="4"/>
      <c r="B8" s="4" t="s">
        <v>12</v>
      </c>
      <c r="C8" s="4">
        <v>3</v>
      </c>
      <c r="D8" s="4" t="s">
        <v>15</v>
      </c>
      <c r="E8" s="4">
        <v>4</v>
      </c>
      <c r="F8" s="4" t="s">
        <v>15</v>
      </c>
      <c r="G8" s="8">
        <v>20</v>
      </c>
    </row>
    <row r="9" spans="1:7" ht="15" customHeight="1">
      <c r="A9" s="4"/>
      <c r="B9" s="4" t="s">
        <v>12</v>
      </c>
      <c r="C9" s="15"/>
      <c r="E9" s="16">
        <v>5</v>
      </c>
      <c r="F9" s="4" t="s">
        <v>16</v>
      </c>
      <c r="G9" s="8">
        <v>30</v>
      </c>
    </row>
    <row r="10" spans="1:7" ht="15" customHeight="1">
      <c r="A10" s="4">
        <v>2</v>
      </c>
      <c r="B10" s="4" t="s">
        <v>17</v>
      </c>
      <c r="C10" s="4">
        <v>4</v>
      </c>
      <c r="D10" s="4" t="s">
        <v>31</v>
      </c>
      <c r="E10" s="4">
        <v>6</v>
      </c>
      <c r="F10" s="4" t="s">
        <v>17</v>
      </c>
      <c r="G10" s="8">
        <v>37</v>
      </c>
    </row>
    <row r="11" spans="1:7" ht="15" customHeight="1">
      <c r="A11" s="4"/>
      <c r="B11" s="4" t="s">
        <v>17</v>
      </c>
      <c r="C11" s="15"/>
      <c r="E11" s="16">
        <v>7</v>
      </c>
      <c r="F11" s="4" t="s">
        <v>18</v>
      </c>
      <c r="G11" s="8">
        <v>31</v>
      </c>
    </row>
    <row r="12" spans="1:7" ht="15" customHeight="1">
      <c r="A12" s="4"/>
      <c r="B12" s="4" t="s">
        <v>17</v>
      </c>
      <c r="C12" s="4">
        <v>5</v>
      </c>
      <c r="D12" s="4" t="s">
        <v>19</v>
      </c>
      <c r="E12" s="4">
        <v>8</v>
      </c>
      <c r="F12" s="4" t="s">
        <v>19</v>
      </c>
      <c r="G12" s="8">
        <v>15</v>
      </c>
    </row>
    <row r="13" spans="1:7" ht="15" customHeight="1">
      <c r="A13" s="4"/>
      <c r="B13" s="4" t="s">
        <v>17</v>
      </c>
      <c r="C13" s="15"/>
      <c r="E13" s="16">
        <v>9</v>
      </c>
      <c r="F13" s="4" t="s">
        <v>20</v>
      </c>
      <c r="G13" s="8">
        <v>11</v>
      </c>
    </row>
    <row r="14" spans="1:7" ht="15" customHeight="1">
      <c r="A14" s="4">
        <v>3</v>
      </c>
      <c r="B14" s="4" t="s">
        <v>21</v>
      </c>
      <c r="C14" s="4"/>
      <c r="D14" s="4"/>
      <c r="E14" s="4">
        <v>10</v>
      </c>
      <c r="F14" s="4" t="s">
        <v>21</v>
      </c>
      <c r="G14" s="8">
        <v>16</v>
      </c>
    </row>
    <row r="15" spans="1:7" ht="15" customHeight="1">
      <c r="A15" s="4"/>
      <c r="B15" s="4" t="s">
        <v>21</v>
      </c>
      <c r="C15" s="4">
        <v>6</v>
      </c>
      <c r="D15" s="4" t="s">
        <v>22</v>
      </c>
      <c r="E15" s="4">
        <v>11</v>
      </c>
      <c r="F15" s="4" t="s">
        <v>22</v>
      </c>
      <c r="G15" s="8">
        <v>24</v>
      </c>
    </row>
    <row r="16" spans="1:7" ht="15" customHeight="1">
      <c r="A16" s="4"/>
      <c r="B16" s="4" t="s">
        <v>21</v>
      </c>
      <c r="C16" s="4">
        <v>7</v>
      </c>
      <c r="D16" s="4" t="s">
        <v>23</v>
      </c>
      <c r="E16" s="4">
        <v>12</v>
      </c>
      <c r="F16" s="4" t="s">
        <v>23</v>
      </c>
      <c r="G16" s="8">
        <v>14</v>
      </c>
    </row>
    <row r="17" spans="1:7" ht="15" customHeight="1">
      <c r="A17" s="4"/>
      <c r="B17" s="4" t="s">
        <v>21</v>
      </c>
      <c r="C17" s="4"/>
      <c r="D17" s="4"/>
      <c r="E17" s="4">
        <v>13</v>
      </c>
      <c r="F17" s="4" t="s">
        <v>24</v>
      </c>
      <c r="G17" s="8">
        <v>17</v>
      </c>
    </row>
    <row r="18" spans="1:7" ht="15" customHeight="1">
      <c r="A18" s="4"/>
      <c r="B18" s="4" t="s">
        <v>21</v>
      </c>
      <c r="C18" s="4"/>
      <c r="D18" s="4"/>
      <c r="E18" s="4">
        <v>14</v>
      </c>
      <c r="F18" s="4" t="s">
        <v>25</v>
      </c>
      <c r="G18" s="8">
        <v>7</v>
      </c>
    </row>
    <row r="19" spans="1:7" ht="15" customHeight="1">
      <c r="A19" s="4"/>
      <c r="B19" s="4" t="s">
        <v>21</v>
      </c>
      <c r="C19" s="4"/>
      <c r="D19" s="4"/>
      <c r="E19" s="4">
        <v>15</v>
      </c>
      <c r="F19" s="4" t="s">
        <v>26</v>
      </c>
      <c r="G19" s="8">
        <v>6</v>
      </c>
    </row>
    <row r="20" spans="1:7" ht="15" customHeight="1">
      <c r="A20" s="4">
        <v>4</v>
      </c>
      <c r="B20" s="4" t="s">
        <v>27</v>
      </c>
      <c r="C20" s="4">
        <v>8</v>
      </c>
      <c r="D20" s="4" t="s">
        <v>27</v>
      </c>
      <c r="E20" s="4">
        <v>16</v>
      </c>
      <c r="F20" s="4" t="s">
        <v>27</v>
      </c>
      <c r="G20" s="8">
        <v>43</v>
      </c>
    </row>
    <row r="21" spans="1:7" ht="15" customHeight="1">
      <c r="A21" s="4"/>
      <c r="B21" s="4" t="s">
        <v>27</v>
      </c>
      <c r="C21" s="4">
        <v>9</v>
      </c>
      <c r="D21" s="4" t="s">
        <v>28</v>
      </c>
      <c r="E21" s="4">
        <v>17</v>
      </c>
      <c r="F21" s="4" t="s">
        <v>28</v>
      </c>
      <c r="G21" s="8">
        <v>32</v>
      </c>
    </row>
    <row r="22" spans="1:7" ht="15" customHeight="1">
      <c r="F22" s="9" t="s">
        <v>29</v>
      </c>
      <c r="G22" s="9">
        <f>SUM(G5:G21)</f>
        <v>368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>
      <pane ySplit="5" topLeftCell="A12" activePane="bottomLeft" state="frozen"/>
      <selection pane="bottomLeft" activeCell="C27" sqref="C27"/>
    </sheetView>
  </sheetViews>
  <sheetFormatPr defaultColWidth="8.7109375" defaultRowHeight="15"/>
  <cols>
    <col min="1" max="1" width="6.28515625" style="1" customWidth="1"/>
    <col min="2" max="2" width="26" style="1" customWidth="1"/>
    <col min="3" max="3" width="48.7109375" customWidth="1"/>
    <col min="4" max="4" width="43.28515625" customWidth="1"/>
  </cols>
  <sheetData>
    <row r="1" spans="1:4" ht="17.25" customHeight="1">
      <c r="A1" s="2" t="s">
        <v>32</v>
      </c>
    </row>
    <row r="2" spans="1:4" ht="15" customHeight="1">
      <c r="A2" s="7"/>
    </row>
    <row r="3" spans="1:4" ht="15" customHeight="1">
      <c r="A3" s="7" t="s">
        <v>100</v>
      </c>
    </row>
    <row r="5" spans="1:4" ht="15" customHeight="1">
      <c r="A5" s="3" t="s">
        <v>8</v>
      </c>
      <c r="B5" s="3" t="s">
        <v>33</v>
      </c>
      <c r="C5" s="3" t="s">
        <v>110</v>
      </c>
      <c r="D5" s="17" t="s">
        <v>109</v>
      </c>
    </row>
    <row r="6" spans="1:4" ht="15" customHeight="1">
      <c r="A6" s="4">
        <v>1</v>
      </c>
      <c r="B6" s="4" t="s">
        <v>99</v>
      </c>
      <c r="C6" s="4" t="s">
        <v>34</v>
      </c>
      <c r="D6" t="s">
        <v>183</v>
      </c>
    </row>
    <row r="7" spans="1:4" ht="15" customHeight="1">
      <c r="A7" s="4">
        <v>2</v>
      </c>
      <c r="B7" s="4" t="s">
        <v>35</v>
      </c>
      <c r="C7" s="4" t="s">
        <v>111</v>
      </c>
      <c r="D7" t="s">
        <v>117</v>
      </c>
    </row>
    <row r="8" spans="1:4" ht="15" customHeight="1">
      <c r="A8" s="4"/>
      <c r="B8" s="4"/>
      <c r="C8" s="4"/>
      <c r="D8" t="s">
        <v>112</v>
      </c>
    </row>
    <row r="9" spans="1:4" ht="15" customHeight="1">
      <c r="A9" s="4">
        <v>3</v>
      </c>
      <c r="B9" s="4"/>
      <c r="C9" s="4"/>
    </row>
    <row r="10" spans="1:4" ht="15" customHeight="1">
      <c r="A10" s="4">
        <v>4</v>
      </c>
      <c r="B10" s="4"/>
      <c r="C10" s="4"/>
    </row>
    <row r="11" spans="1:4" ht="15" customHeight="1">
      <c r="A11" s="4">
        <v>5</v>
      </c>
      <c r="B11" s="4"/>
      <c r="C11" s="4"/>
    </row>
    <row r="12" spans="1:4" ht="15" customHeight="1">
      <c r="A12" s="4">
        <v>6</v>
      </c>
      <c r="B12" s="4" t="s">
        <v>36</v>
      </c>
      <c r="C12" s="4" t="s">
        <v>113</v>
      </c>
      <c r="D12" t="s">
        <v>114</v>
      </c>
    </row>
    <row r="13" spans="1:4" ht="15" customHeight="1">
      <c r="A13" s="4"/>
      <c r="B13" s="4"/>
      <c r="C13" s="4"/>
      <c r="D13" t="s">
        <v>115</v>
      </c>
    </row>
    <row r="14" spans="1:4" ht="15" customHeight="1">
      <c r="A14" s="4">
        <v>7</v>
      </c>
      <c r="B14" s="4" t="s">
        <v>37</v>
      </c>
      <c r="C14" s="4" t="s">
        <v>116</v>
      </c>
      <c r="D14" t="s">
        <v>118</v>
      </c>
    </row>
    <row r="15" spans="1:4" ht="15" customHeight="1">
      <c r="A15" s="4"/>
      <c r="B15" s="4"/>
      <c r="C15" s="4"/>
      <c r="D15" t="s">
        <v>119</v>
      </c>
    </row>
    <row r="16" spans="1:4" ht="15" customHeight="1">
      <c r="A16" s="4"/>
      <c r="B16" s="4"/>
      <c r="C16" s="4"/>
      <c r="D16" t="s">
        <v>186</v>
      </c>
    </row>
    <row r="17" spans="1:4" ht="15" customHeight="1">
      <c r="A17" s="4"/>
      <c r="B17" s="4"/>
      <c r="C17" s="4"/>
      <c r="D17" t="s">
        <v>185</v>
      </c>
    </row>
    <row r="18" spans="1:4" ht="15" customHeight="1">
      <c r="A18" s="4"/>
      <c r="B18" s="4"/>
      <c r="C18" s="4" t="s">
        <v>120</v>
      </c>
      <c r="D18" t="s">
        <v>121</v>
      </c>
    </row>
    <row r="19" spans="1:4" ht="15" customHeight="1">
      <c r="A19" s="4">
        <v>8</v>
      </c>
      <c r="B19" s="4" t="s">
        <v>38</v>
      </c>
      <c r="C19" s="4" t="s">
        <v>105</v>
      </c>
      <c r="D19" t="s">
        <v>122</v>
      </c>
    </row>
    <row r="20" spans="1:4" ht="15" customHeight="1">
      <c r="A20" s="4"/>
      <c r="B20" s="4"/>
      <c r="C20" s="4"/>
      <c r="D20" t="s">
        <v>123</v>
      </c>
    </row>
    <row r="21" spans="1:4" ht="15" customHeight="1">
      <c r="A21" s="4"/>
      <c r="B21" s="4"/>
      <c r="C21" s="4"/>
      <c r="D21" t="s">
        <v>124</v>
      </c>
    </row>
    <row r="22" spans="1:4" ht="15" customHeight="1">
      <c r="A22" s="4">
        <v>9</v>
      </c>
      <c r="B22" s="4" t="s">
        <v>40</v>
      </c>
      <c r="C22" s="4" t="s">
        <v>39</v>
      </c>
      <c r="D22" t="s">
        <v>125</v>
      </c>
    </row>
    <row r="23" spans="1:4" ht="15" customHeight="1">
      <c r="A23" s="4"/>
      <c r="B23" s="4"/>
      <c r="C23" s="4"/>
      <c r="D23" t="s">
        <v>101</v>
      </c>
    </row>
    <row r="24" spans="1:4" ht="15" customHeight="1">
      <c r="A24" s="4">
        <v>10</v>
      </c>
      <c r="B24" s="4" t="s">
        <v>42</v>
      </c>
      <c r="C24" s="4" t="s">
        <v>41</v>
      </c>
      <c r="D24" t="s">
        <v>41</v>
      </c>
    </row>
    <row r="25" spans="1:4" ht="15" customHeight="1">
      <c r="A25" s="4">
        <v>11</v>
      </c>
      <c r="B25" s="4" t="s">
        <v>44</v>
      </c>
      <c r="C25" s="4" t="s">
        <v>43</v>
      </c>
      <c r="D25" t="s">
        <v>188</v>
      </c>
    </row>
    <row r="26" spans="1:4" ht="15" customHeight="1">
      <c r="A26" s="4">
        <v>12</v>
      </c>
      <c r="B26" s="4" t="s">
        <v>46</v>
      </c>
      <c r="C26" s="4" t="s">
        <v>45</v>
      </c>
      <c r="D26" t="s">
        <v>187</v>
      </c>
    </row>
    <row r="27" spans="1:4" ht="15" customHeight="1">
      <c r="A27" s="4">
        <v>13</v>
      </c>
      <c r="B27" s="4" t="s">
        <v>47</v>
      </c>
      <c r="C27" s="4" t="s">
        <v>153</v>
      </c>
    </row>
    <row r="28" spans="1:4" ht="15" customHeight="1">
      <c r="A28" s="4">
        <v>14</v>
      </c>
      <c r="B28" s="4" t="s">
        <v>49</v>
      </c>
      <c r="C28" s="4" t="s">
        <v>48</v>
      </c>
      <c r="D28" t="s">
        <v>154</v>
      </c>
    </row>
    <row r="29" spans="1:4" ht="15" customHeight="1">
      <c r="A29" s="4">
        <v>15</v>
      </c>
      <c r="B29" s="4" t="s">
        <v>51</v>
      </c>
      <c r="C29" s="4" t="s">
        <v>50</v>
      </c>
      <c r="D29" t="s">
        <v>155</v>
      </c>
    </row>
    <row r="30" spans="1:4" ht="15" customHeight="1">
      <c r="A30" s="4">
        <v>16</v>
      </c>
      <c r="B30" s="4" t="s">
        <v>53</v>
      </c>
      <c r="C30" s="4" t="s">
        <v>52</v>
      </c>
      <c r="D30" t="s">
        <v>156</v>
      </c>
    </row>
    <row r="31" spans="1:4" ht="15" customHeight="1">
      <c r="A31" s="4">
        <v>17</v>
      </c>
      <c r="B31" s="4" t="s">
        <v>55</v>
      </c>
      <c r="C31" s="4" t="s">
        <v>54</v>
      </c>
      <c r="D31" t="s">
        <v>157</v>
      </c>
    </row>
    <row r="32" spans="1:4" ht="15" customHeight="1">
      <c r="A32" s="4">
        <v>18</v>
      </c>
      <c r="B32" s="4" t="s">
        <v>56</v>
      </c>
      <c r="C32" s="4" t="s">
        <v>158</v>
      </c>
      <c r="D32" t="s">
        <v>159</v>
      </c>
    </row>
    <row r="33" spans="1:4" ht="15" customHeight="1">
      <c r="A33" s="4">
        <v>19</v>
      </c>
      <c r="B33" s="4" t="s">
        <v>58</v>
      </c>
      <c r="C33" s="4" t="s">
        <v>57</v>
      </c>
      <c r="D33" t="s">
        <v>189</v>
      </c>
    </row>
    <row r="34" spans="1:4" ht="15" customHeight="1">
      <c r="A34" s="4">
        <v>20</v>
      </c>
      <c r="B34" s="4" t="s">
        <v>59</v>
      </c>
      <c r="C34" s="4" t="s">
        <v>158</v>
      </c>
      <c r="D34" t="s">
        <v>160</v>
      </c>
    </row>
    <row r="35" spans="1:4" ht="15" customHeight="1">
      <c r="A35" s="4">
        <v>21</v>
      </c>
      <c r="B35" s="4" t="s">
        <v>60</v>
      </c>
      <c r="C35" s="4" t="s">
        <v>161</v>
      </c>
      <c r="D35" t="s">
        <v>162</v>
      </c>
    </row>
    <row r="36" spans="1:4" ht="15" customHeight="1">
      <c r="A36" s="4">
        <v>22</v>
      </c>
      <c r="B36" s="4" t="s">
        <v>61</v>
      </c>
      <c r="C36" s="4" t="s">
        <v>161</v>
      </c>
      <c r="D36" t="s">
        <v>163</v>
      </c>
    </row>
    <row r="37" spans="1:4" ht="15" customHeight="1">
      <c r="A37" s="4">
        <v>23</v>
      </c>
      <c r="B37" s="4" t="s">
        <v>62</v>
      </c>
      <c r="C37" s="4" t="s">
        <v>158</v>
      </c>
      <c r="D37" t="s">
        <v>164</v>
      </c>
    </row>
    <row r="38" spans="1:4" ht="15" customHeight="1">
      <c r="A38" s="4">
        <v>24</v>
      </c>
      <c r="B38" s="4" t="s">
        <v>63</v>
      </c>
      <c r="C38" s="4" t="s">
        <v>158</v>
      </c>
      <c r="D38" t="s">
        <v>165</v>
      </c>
    </row>
    <row r="39" spans="1:4" ht="15" customHeight="1">
      <c r="A39" s="4">
        <v>25</v>
      </c>
      <c r="B39" s="4" t="s">
        <v>64</v>
      </c>
      <c r="C39" s="4" t="s">
        <v>158</v>
      </c>
      <c r="D39" t="s">
        <v>166</v>
      </c>
    </row>
    <row r="40" spans="1:4" ht="15" customHeight="1">
      <c r="A40" s="4">
        <v>26</v>
      </c>
      <c r="B40" s="4" t="s">
        <v>65</v>
      </c>
      <c r="C40" s="4" t="s">
        <v>120</v>
      </c>
      <c r="D40" t="s">
        <v>167</v>
      </c>
    </row>
    <row r="41" spans="1:4" ht="15" customHeight="1">
      <c r="A41" s="4">
        <v>27</v>
      </c>
      <c r="B41" s="4" t="s">
        <v>66</v>
      </c>
      <c r="C41" s="4" t="s">
        <v>168</v>
      </c>
      <c r="D41" t="s">
        <v>169</v>
      </c>
    </row>
    <row r="42" spans="1:4" ht="15" customHeight="1">
      <c r="A42" s="4">
        <v>28</v>
      </c>
      <c r="B42" s="4" t="s">
        <v>68</v>
      </c>
      <c r="C42" s="4" t="s">
        <v>67</v>
      </c>
      <c r="D42" t="s">
        <v>170</v>
      </c>
    </row>
    <row r="43" spans="1:4" ht="15" customHeight="1">
      <c r="A43" s="4">
        <v>29</v>
      </c>
      <c r="B43" s="4" t="s">
        <v>69</v>
      </c>
      <c r="C43" s="4" t="s">
        <v>106</v>
      </c>
      <c r="D43" t="s">
        <v>184</v>
      </c>
    </row>
    <row r="44" spans="1:4" ht="15" customHeight="1">
      <c r="A44" s="4">
        <v>30</v>
      </c>
      <c r="B44" s="4" t="s">
        <v>70</v>
      </c>
      <c r="C44" s="4" t="s">
        <v>141</v>
      </c>
      <c r="D44" t="s">
        <v>171</v>
      </c>
    </row>
    <row r="45" spans="1:4" ht="15" customHeight="1">
      <c r="A45" s="4">
        <v>31</v>
      </c>
      <c r="B45" s="4" t="s">
        <v>72</v>
      </c>
      <c r="C45" s="4" t="s">
        <v>71</v>
      </c>
      <c r="D45" t="s">
        <v>172</v>
      </c>
    </row>
    <row r="46" spans="1:4" ht="15" customHeight="1">
      <c r="A46" s="4">
        <v>32</v>
      </c>
      <c r="B46" s="4" t="s">
        <v>73</v>
      </c>
      <c r="C46" s="4" t="s">
        <v>173</v>
      </c>
      <c r="D46" t="s">
        <v>174</v>
      </c>
    </row>
    <row r="47" spans="1:4" ht="15" customHeight="1">
      <c r="A47" s="4">
        <v>33</v>
      </c>
      <c r="B47" s="4" t="s">
        <v>74</v>
      </c>
      <c r="C47" s="4" t="s">
        <v>104</v>
      </c>
      <c r="D47" t="s">
        <v>175</v>
      </c>
    </row>
    <row r="48" spans="1:4" ht="15" customHeight="1">
      <c r="A48" s="4">
        <v>34</v>
      </c>
      <c r="B48" s="4" t="s">
        <v>75</v>
      </c>
      <c r="C48" s="4" t="s">
        <v>176</v>
      </c>
      <c r="D48" t="s">
        <v>177</v>
      </c>
    </row>
    <row r="49" spans="1:4" ht="15" customHeight="1">
      <c r="A49" s="4">
        <v>35</v>
      </c>
      <c r="B49" s="4" t="s">
        <v>76</v>
      </c>
      <c r="C49" s="4" t="s">
        <v>176</v>
      </c>
      <c r="D49" t="s">
        <v>178</v>
      </c>
    </row>
    <row r="50" spans="1:4" ht="15" customHeight="1">
      <c r="A50" s="4">
        <v>36</v>
      </c>
      <c r="B50" s="4" t="s">
        <v>77</v>
      </c>
      <c r="C50" s="4" t="s">
        <v>107</v>
      </c>
      <c r="D50" t="s">
        <v>180</v>
      </c>
    </row>
    <row r="51" spans="1:4" ht="15" customHeight="1">
      <c r="A51" s="4">
        <v>37</v>
      </c>
      <c r="B51" s="4" t="s">
        <v>78</v>
      </c>
      <c r="C51" s="4" t="s">
        <v>103</v>
      </c>
      <c r="D51" t="s">
        <v>179</v>
      </c>
    </row>
    <row r="52" spans="1:4" ht="15" customHeight="1">
      <c r="A52" s="4">
        <v>38</v>
      </c>
      <c r="B52" s="4" t="s">
        <v>79</v>
      </c>
      <c r="C52" s="4" t="s">
        <v>102</v>
      </c>
      <c r="D52" t="s">
        <v>139</v>
      </c>
    </row>
    <row r="53" spans="1:4" ht="15" customHeight="1">
      <c r="A53" s="4">
        <v>39</v>
      </c>
      <c r="B53" s="4" t="s">
        <v>140</v>
      </c>
      <c r="C53" s="4" t="s">
        <v>141</v>
      </c>
      <c r="D53" t="s">
        <v>142</v>
      </c>
    </row>
    <row r="54" spans="1:4" ht="15" customHeight="1">
      <c r="A54" s="4">
        <v>40</v>
      </c>
      <c r="B54" s="4" t="s">
        <v>80</v>
      </c>
      <c r="C54" s="4" t="s">
        <v>129</v>
      </c>
      <c r="D54" t="s">
        <v>130</v>
      </c>
    </row>
    <row r="55" spans="1:4" ht="15" customHeight="1">
      <c r="A55" s="4"/>
      <c r="B55" s="4"/>
      <c r="C55" s="4"/>
      <c r="D55" t="s">
        <v>131</v>
      </c>
    </row>
    <row r="56" spans="1:4" ht="15" customHeight="1">
      <c r="A56" s="4">
        <v>41</v>
      </c>
      <c r="B56" s="4" t="s">
        <v>149</v>
      </c>
      <c r="C56" s="4" t="s">
        <v>150</v>
      </c>
      <c r="D56" t="s">
        <v>151</v>
      </c>
    </row>
    <row r="57" spans="1:4" ht="15" customHeight="1">
      <c r="A57" s="4">
        <v>42</v>
      </c>
      <c r="B57" s="4" t="s">
        <v>81</v>
      </c>
      <c r="C57" s="4" t="s">
        <v>152</v>
      </c>
      <c r="D57" t="s">
        <v>193</v>
      </c>
    </row>
    <row r="58" spans="1:4" ht="15" customHeight="1">
      <c r="A58" s="4">
        <v>43</v>
      </c>
      <c r="B58" s="4" t="s">
        <v>83</v>
      </c>
      <c r="C58" s="4" t="s">
        <v>82</v>
      </c>
      <c r="D58" t="s">
        <v>190</v>
      </c>
    </row>
    <row r="59" spans="1:4" ht="15" customHeight="1">
      <c r="A59" s="4">
        <v>44</v>
      </c>
      <c r="B59" s="4" t="s">
        <v>85</v>
      </c>
      <c r="C59" s="4" t="s">
        <v>84</v>
      </c>
      <c r="D59" t="s">
        <v>194</v>
      </c>
    </row>
    <row r="60" spans="1:4" ht="15" customHeight="1">
      <c r="A60" s="4">
        <v>45</v>
      </c>
      <c r="B60" s="4" t="s">
        <v>87</v>
      </c>
      <c r="C60" s="4" t="s">
        <v>86</v>
      </c>
      <c r="D60" t="s">
        <v>191</v>
      </c>
    </row>
    <row r="61" spans="1:4" ht="15" customHeight="1">
      <c r="A61" s="4">
        <v>46</v>
      </c>
      <c r="B61" s="4" t="s">
        <v>89</v>
      </c>
      <c r="C61" s="4" t="s">
        <v>88</v>
      </c>
      <c r="D61" t="s">
        <v>192</v>
      </c>
    </row>
    <row r="62" spans="1:4" ht="15" customHeight="1">
      <c r="A62" s="4">
        <v>47</v>
      </c>
      <c r="B62" s="4" t="s">
        <v>90</v>
      </c>
      <c r="C62" s="4" t="s">
        <v>143</v>
      </c>
      <c r="D62" t="s">
        <v>144</v>
      </c>
    </row>
    <row r="63" spans="1:4" ht="15" customHeight="1">
      <c r="A63" s="4"/>
      <c r="B63" s="4"/>
      <c r="C63" s="4"/>
      <c r="D63" t="s">
        <v>145</v>
      </c>
    </row>
    <row r="64" spans="1:4" ht="15" customHeight="1">
      <c r="A64" s="4">
        <v>48</v>
      </c>
      <c r="B64" s="4" t="s">
        <v>146</v>
      </c>
      <c r="C64" s="4" t="s">
        <v>138</v>
      </c>
      <c r="D64" t="s">
        <v>147</v>
      </c>
    </row>
    <row r="65" spans="1:4" ht="15" customHeight="1">
      <c r="A65" s="4">
        <v>49</v>
      </c>
      <c r="B65" s="4" t="s">
        <v>91</v>
      </c>
      <c r="C65" s="4" t="s">
        <v>148</v>
      </c>
    </row>
    <row r="66" spans="1:4" ht="15" customHeight="1">
      <c r="A66" s="4">
        <v>50</v>
      </c>
      <c r="B66" s="4" t="s">
        <v>127</v>
      </c>
      <c r="C66" s="4" t="s">
        <v>92</v>
      </c>
      <c r="D66" t="s">
        <v>128</v>
      </c>
    </row>
    <row r="67" spans="1:4" ht="15" customHeight="1">
      <c r="A67" s="4">
        <v>51</v>
      </c>
      <c r="B67" s="4" t="s">
        <v>94</v>
      </c>
      <c r="C67" s="4" t="s">
        <v>93</v>
      </c>
      <c r="D67" t="s">
        <v>126</v>
      </c>
    </row>
    <row r="68" spans="1:4" ht="15" customHeight="1">
      <c r="A68" s="4">
        <v>52</v>
      </c>
      <c r="B68" s="4" t="s">
        <v>137</v>
      </c>
      <c r="C68" s="4" t="s">
        <v>135</v>
      </c>
      <c r="D68" t="s">
        <v>136</v>
      </c>
    </row>
    <row r="69" spans="1:4" ht="15" customHeight="1">
      <c r="A69" s="4">
        <v>53</v>
      </c>
      <c r="B69" s="4" t="s">
        <v>95</v>
      </c>
      <c r="C69" s="14" t="s">
        <v>132</v>
      </c>
      <c r="D69" t="s">
        <v>182</v>
      </c>
    </row>
    <row r="70" spans="1:4" ht="15" customHeight="1">
      <c r="A70" s="4"/>
      <c r="B70" s="4"/>
      <c r="C70" s="14"/>
      <c r="D70" t="s">
        <v>133</v>
      </c>
    </row>
    <row r="71" spans="1:4" ht="15" customHeight="1">
      <c r="A71" s="4"/>
      <c r="B71" s="4"/>
      <c r="C71" s="14"/>
      <c r="D71" t="s">
        <v>134</v>
      </c>
    </row>
    <row r="72" spans="1:4" ht="15" customHeight="1">
      <c r="A72" s="4">
        <v>54</v>
      </c>
      <c r="B72" s="4" t="s">
        <v>97</v>
      </c>
      <c r="C72" s="4" t="s">
        <v>96</v>
      </c>
      <c r="D72" t="s">
        <v>195</v>
      </c>
    </row>
    <row r="73" spans="1:4" ht="15" customHeight="1">
      <c r="A73" s="4">
        <v>55</v>
      </c>
      <c r="B73" s="4" t="s">
        <v>98</v>
      </c>
      <c r="C73" s="4" t="s">
        <v>181</v>
      </c>
      <c r="D73" t="s">
        <v>101</v>
      </c>
    </row>
    <row r="74" spans="1:4" ht="15" customHeight="1">
      <c r="A74" s="4"/>
      <c r="B74" s="13"/>
      <c r="C74" s="13"/>
    </row>
    <row r="75" spans="1:4" ht="15" customHeight="1">
      <c r="A75" s="4"/>
      <c r="B75" s="10"/>
      <c r="C75" s="10"/>
    </row>
    <row r="76" spans="1:4" ht="15" customHeight="1">
      <c r="A76" s="4"/>
      <c r="B76" s="10"/>
      <c r="C76" s="10"/>
    </row>
    <row r="77" spans="1:4">
      <c r="B77" s="12"/>
      <c r="C77" s="1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Circles</vt:lpstr>
      <vt:lpstr>Departments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2026-09-28T05:22:08Z</dcterms:created>
  <dcterms:modified xsi:type="dcterms:W3CDTF">2026-09-28T12:23:11Z</dcterms:modified>
  <dc:language>en-US</dc:language>
</cp:coreProperties>
</file>